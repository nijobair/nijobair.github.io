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4b114873cb6133/Desktop/nijobair.github.io/assets/downloads/"/>
    </mc:Choice>
  </mc:AlternateContent>
  <xr:revisionPtr revIDLastSave="12" documentId="13_ncr:1_{99E63637-56B4-4D77-BE28-D128DED63D42}" xr6:coauthVersionLast="47" xr6:coauthVersionMax="47" xr10:uidLastSave="{12E5068A-70B3-4D6F-95FC-A6017EDBB7F3}"/>
  <bookViews>
    <workbookView xWindow="-98" yWindow="-98" windowWidth="21795" windowHeight="12975" tabRatio="665" activeTab="1" xr2:uid="{EC52426A-9AE1-4D31-A39F-90720DE78151}"/>
  </bookViews>
  <sheets>
    <sheet name="Instruction" sheetId="2" r:id="rId1"/>
    <sheet name="Calculator" sheetId="3" r:id="rId2"/>
    <sheet name="Data" sheetId="1" r:id="rId3"/>
  </sheets>
  <definedNames>
    <definedName name="rngHours">Data!$S$2</definedName>
    <definedName name="rngState">Calculator!$H$2</definedName>
    <definedName name="rngStates">tblData[State]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 a="1"/>
  <c r="K12" i="3" s="1"/>
  <c r="K19" i="3" s="1"/>
  <c r="B12" i="3"/>
  <c r="B20" i="3" s="1"/>
  <c r="I12" i="3"/>
  <c r="K18" i="3" l="1"/>
  <c r="K20" i="3"/>
  <c r="I19" i="3"/>
  <c r="I18" i="3"/>
  <c r="B18" i="3"/>
  <c r="I20" i="3"/>
  <c r="B19" i="3"/>
  <c r="Z4" i="1" l="1" a="1"/>
  <c r="Y4" i="1" a="1"/>
  <c r="AF6" i="1" l="1"/>
  <c r="AD5" i="1"/>
  <c r="AE5" i="1" s="1"/>
  <c r="AB6" i="1"/>
  <c r="AB5" i="1"/>
  <c r="AF5" i="1"/>
  <c r="AD6" i="1"/>
  <c r="AE6" i="1" s="1"/>
  <c r="Z4" i="1"/>
  <c r="AB4" i="1" s="1"/>
  <c r="Y4" i="1"/>
  <c r="AA4" i="1" s="1"/>
  <c r="AA6" i="1"/>
  <c r="AA5" i="1"/>
  <c r="AF4" i="1" l="1"/>
  <c r="AD4" i="1"/>
  <c r="AE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Nazmul Islam</author>
  </authors>
  <commentList>
    <comment ref="H2" authorId="0" shapeId="0" xr:uid="{08AB00B3-6E68-4789-B228-0B11A84C306F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Select a state from the drop-down list.</t>
        </r>
      </text>
    </comment>
    <comment ref="B10" authorId="0" shapeId="0" xr:uid="{73A3E24F-ED1A-4FBE-9DB0-12E289A2A2E8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Specify the number of hours.</t>
        </r>
      </text>
    </comment>
    <comment ref="I10" authorId="0" shapeId="0" xr:uid="{1561D576-B83E-410A-8182-5ABC9414291F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Specify the number of hours.</t>
        </r>
      </text>
    </comment>
    <comment ref="B11" authorId="0" shapeId="0" xr:uid="{3A617AFE-5771-49F2-9126-EADD2A9687E3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Specify the number of people.</t>
        </r>
      </text>
    </comment>
    <comment ref="I11" authorId="0" shapeId="0" xr:uid="{6C03093D-89DB-4842-8EA8-D0FB0F0344C5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Specify the number of people.</t>
        </r>
      </text>
    </comment>
    <comment ref="B13" authorId="0" shapeId="0" xr:uid="{E14CCBB5-FEDF-46D7-B601-A4E9A91365EB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Specify a custom hourly rate or leave blank if you want the default rate to be used.</t>
        </r>
      </text>
    </comment>
    <comment ref="I13" authorId="0" shapeId="0" xr:uid="{A553A2FD-7857-41DE-92EA-C04D1D768E90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Specify a custom hourly rate or leave blank if you want the default rate to be used.</t>
        </r>
      </text>
    </comment>
    <comment ref="K13" authorId="0" shapeId="0" xr:uid="{F72EE186-AAF6-47FC-B522-862EE6CE6C90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Specify a custom hourly rate or leave blank if you want the default rate to be used.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Nazmul Islam</author>
    <author>tc={56775307-4CEB-468C-AD8C-755C4193541B}</author>
  </authors>
  <commentList>
    <comment ref="S2" authorId="0" shapeId="0" xr:uid="{465C9A3D-D90E-41C2-9F70-6B8444716E4C}">
      <text>
        <r>
          <rPr>
            <b/>
            <sz val="9"/>
            <color indexed="81"/>
            <rFont val="Tahoma"/>
            <family val="2"/>
          </rPr>
          <t>Nazmul Islam:</t>
        </r>
        <r>
          <rPr>
            <sz val="9"/>
            <color indexed="81"/>
            <rFont val="Tahoma"/>
            <family val="2"/>
          </rPr>
          <t xml:space="preserve">
How many hours in a day for 'per day' in the 'tblData' table?</t>
        </r>
      </text>
    </comment>
    <comment ref="A19" authorId="1" shapeId="0" xr:uid="{56775307-4CEB-468C-AD8C-755C4193541B}">
      <text>
        <t>[Threaded comment]
Your version of Excel allows you to read this threaded comment; however, any edits to it will get removed if the file is opened in a newer version of Excel. Learn more: https://go.microsoft.com/fwlink/?linkid=870924
Comment:
    Scott will provide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<sst xmlns="http://schemas.openxmlformats.org/spreadsheetml/2006/main" count="119" uniqueCount="68">
  <si>
    <t>Instructions</t>
  </si>
  <si>
    <t>Color Codes:</t>
  </si>
  <si>
    <t>---&gt;</t>
  </si>
  <si>
    <t>Input fields.</t>
  </si>
  <si>
    <t>Cells with formulas.</t>
  </si>
  <si>
    <t>Output fields.</t>
  </si>
  <si>
    <t>Password:</t>
  </si>
  <si>
    <t>NIJ696</t>
  </si>
  <si>
    <t>State:</t>
  </si>
  <si>
    <t># People:</t>
  </si>
  <si>
    <t>Default Hourly Rate:</t>
  </si>
  <si>
    <t>Custom Hourly Rate:</t>
  </si>
  <si>
    <t>State</t>
  </si>
  <si>
    <t>Daily Rate</t>
  </si>
  <si>
    <t>Unit</t>
  </si>
  <si>
    <t>Day</t>
  </si>
  <si>
    <t>per day</t>
  </si>
  <si>
    <t>per hour</t>
  </si>
  <si>
    <t>Week</t>
  </si>
  <si>
    <t>1 Day</t>
  </si>
  <si>
    <t>Hours</t>
  </si>
  <si>
    <t>Month</t>
  </si>
  <si>
    <t>Traditional</t>
  </si>
  <si>
    <t>Remote</t>
  </si>
  <si>
    <t>Traditional Label</t>
  </si>
  <si>
    <t>Remote Label</t>
  </si>
  <si>
    <t>Y</t>
  </si>
  <si>
    <t>Delta</t>
  </si>
  <si>
    <t>Delta Label</t>
  </si>
  <si>
    <t>Average</t>
  </si>
  <si>
    <t>Year</t>
  </si>
  <si>
    <t>Weekly Cost</t>
  </si>
  <si>
    <t>Monthly Cost</t>
  </si>
  <si>
    <t>Annual Cost</t>
  </si>
  <si>
    <t>Hours Per Day:</t>
  </si>
  <si>
    <t>Paid Backup</t>
  </si>
  <si>
    <t>Weekly:</t>
  </si>
  <si>
    <t>Monthly:</t>
  </si>
  <si>
    <t>Annual:</t>
  </si>
  <si>
    <t>Service Scenario</t>
  </si>
  <si>
    <t>Costs</t>
  </si>
  <si>
    <t>Passive Income</t>
  </si>
  <si>
    <t>** The 'Data' tab contains necessary inputs and some variables used in the calculations.</t>
  </si>
  <si>
    <t>Narsingdi</t>
  </si>
  <si>
    <t>Dhaka</t>
  </si>
  <si>
    <t>Gazipur</t>
  </si>
  <si>
    <t>Sylhet</t>
  </si>
  <si>
    <t>Chittagong</t>
  </si>
  <si>
    <t>Gulshan</t>
  </si>
  <si>
    <t>Mirpur</t>
  </si>
  <si>
    <t>Banani</t>
  </si>
  <si>
    <t>Tongi</t>
  </si>
  <si>
    <t>Raypura</t>
  </si>
  <si>
    <t>Bashail</t>
  </si>
  <si>
    <t>Bhagdi</t>
  </si>
  <si>
    <t>Shibpur</t>
  </si>
  <si>
    <t>Sherpur</t>
  </si>
  <si>
    <t>Tangail</t>
  </si>
  <si>
    <t>Istanbul</t>
  </si>
  <si>
    <t>Izmir</t>
  </si>
  <si>
    <t>Ankara</t>
  </si>
  <si>
    <t>X Rate</t>
  </si>
  <si>
    <t>Billing Type</t>
  </si>
  <si>
    <t>Y State Reimbursement Rate</t>
  </si>
  <si>
    <t>Y Billing Type</t>
  </si>
  <si>
    <t>Avg.</t>
  </si>
  <si>
    <t>Back-Up Rates</t>
  </si>
  <si>
    <t>Back-Up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</si>
</sst>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[$$-409]#,##0.00_ ;[Red]\-[$$-409]#,##0.00\ "/>
    <numFmt numFmtId="166" formatCode="[$$-409]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28"/>
      <color theme="1"/>
      <name val="Aptos Narrow"/>
      <family val="2"/>
      <scheme val="minor"/>
    </font>
    <font>
      <b/>
      <sz val="9"/>
      <color indexed="81"/>
      <name val="Tahoma"/>
      <family val="2"/>
    </font>
    <font>
      <i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/>
    <xf numFmtId="164" fontId="0" fillId="0" borderId="0" xfId="0" applyNumberFormat="1" applyAlignment="1">
      <alignment wrapText="1"/>
    </xf>
    <xf numFmtId="0" fontId="4" fillId="0" borderId="0" xfId="0" applyFont="1"/>
    <xf numFmtId="164" fontId="0" fillId="0" borderId="0" xfId="0" applyNumberFormat="1" applyAlignment="1">
      <alignment horizontal="center" vertical="center"/>
    </xf>
    <xf numFmtId="164" fontId="5" fillId="0" borderId="0" xfId="0" applyNumberFormat="1" applyFont="1" applyAlignment="1">
      <alignment horizontal="righ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wrapText="1"/>
    </xf>
    <xf numFmtId="0" fontId="0" fillId="3" borderId="0" xfId="0" applyFill="1" applyAlignment="1">
      <alignment vertical="center"/>
    </xf>
    <xf numFmtId="0" fontId="2" fillId="0" borderId="1" xfId="0" applyFont="1" applyBorder="1" applyAlignment="1">
      <alignment vertical="center"/>
    </xf>
    <xf numFmtId="165" fontId="0" fillId="0" borderId="0" xfId="0" applyNumberFormat="1"/>
    <xf numFmtId="165" fontId="3" fillId="0" borderId="0" xfId="0" applyNumberFormat="1" applyFont="1"/>
    <xf numFmtId="165" fontId="0" fillId="0" borderId="0" xfId="0" applyNumberFormat="1" applyAlignment="1">
      <alignment vertical="center"/>
    </xf>
    <xf numFmtId="0" fontId="2" fillId="4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166" fontId="0" fillId="5" borderId="1" xfId="0" applyNumberFormat="1" applyFill="1" applyBorder="1" applyAlignment="1">
      <alignment vertical="center"/>
    </xf>
    <xf numFmtId="166" fontId="0" fillId="6" borderId="1" xfId="0" applyNumberForma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166" fontId="0" fillId="2" borderId="1" xfId="0" applyNumberForma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0" fillId="7" borderId="0" xfId="0" applyFill="1"/>
  </cellXfs>
  <cellStyles count="2">
    <cellStyle name="Currency" xfId="1" builtinId="4"/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[$$-409]#,##0.00_ ;[Red]\-[$$-409]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Weekly Economic Impact</a:t>
            </a:r>
          </a:p>
        </c:rich>
      </c:tx>
      <c:layout>
        <c:manualLayout>
          <c:xMode val="edge"/>
          <c:yMode val="edge"/>
          <c:x val="2.1473751613322808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Data!$X$4</c:f>
              <c:strCache>
                <c:ptCount val="1"/>
                <c:pt idx="0">
                  <c:v>Weekly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92-45CC-BD31-02ED0BBD253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A20E1BE-353A-44E7-BAA8-908EA989C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392-45CC-BD31-02ED0BBD25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1084C6-7748-430E-A0E8-AEFC4C95B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392-45CC-BD31-02ED0BBD25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Data!$Y$3:$Z$3</c:f>
              <c:strCache>
                <c:ptCount val="2"/>
                <c:pt idx="0">
                  <c:v>Traditional</c:v>
                </c:pt>
                <c:pt idx="1">
                  <c:v>Remote</c:v>
                </c:pt>
              </c:strCache>
            </c:strRef>
          </c:cat>
          <c:val>
            <c:numRef>
              <c:f>Data!$Y$4:$Z$4</c:f>
              <c:numCache>
                <c:formatCode>General</c:formatCode>
                <c:ptCount val="2"/>
                <c:pt idx="0">
                  <c:v>9170.2800000000007</c:v>
                </c:pt>
                <c:pt idx="1">
                  <c:v>8983.8000000000011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Data!$AA$4:$AB$4</c15:f>
                <c15:dlblRangeCache>
                  <c:ptCount val="2"/>
                  <c:pt idx="0">
                    <c:v>9.2K</c:v>
                  </c:pt>
                  <c:pt idx="1">
                    <c:v>9.0K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D392-45CC-BD31-02ED0BBD25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axId val="1998305983"/>
        <c:axId val="1998289663"/>
      </c:barChart>
      <c:scatterChart>
        <c:scatterStyle val="lineMarker"/>
        <c:varyColors val="0"/>
        <c:ser>
          <c:idx val="1"/>
          <c:order val="1"/>
          <c:tx>
            <c:strRef>
              <c:f>Data!$AC$3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B6-4E36-AE68-9FCCEA54A33A}"/>
              </c:ext>
            </c:extLst>
          </c:dPt>
          <c:dLbls>
            <c:delete val="1"/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plus"/>
            <c:errValType val="cust"/>
            <c:noEndCap val="1"/>
            <c:plus>
              <c:numRef>
                <c:f>Data!$AD$4</c:f>
                <c:numCache>
                  <c:formatCode>General</c:formatCode>
                  <c:ptCount val="1"/>
                  <c:pt idx="0">
                    <c:v>186.47999999999956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" cap="flat" cmpd="sng" algn="ctr">
                <a:solidFill>
                  <a:schemeClr val="accent6">
                    <a:alpha val="76000"/>
                  </a:schemeClr>
                </a:solidFill>
                <a:prstDash val="dashDot"/>
                <a:round/>
                <a:headEnd type="stealth"/>
                <a:tailEnd type="stealth"/>
              </a:ln>
              <a:effectLst/>
            </c:spPr>
          </c:errBars>
          <c:xVal>
            <c:numRef>
              <c:f>Data!$AC$4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Data!$Z$4</c:f>
              <c:numCache>
                <c:formatCode>General</c:formatCode>
                <c:ptCount val="1"/>
                <c:pt idx="0">
                  <c:v>8983.8000000000011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92-45CC-BD31-02ED0BBD2532}"/>
            </c:ext>
          </c:extLst>
        </c:ser>
        <c:ser>
          <c:idx val="2"/>
          <c:order val="2"/>
          <c:tx>
            <c:strRef>
              <c:f>Data!$AF$3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B8CAE9F-8AC5-44FE-B4E0-C89C3ADF0F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392-45CC-BD31-02ED0BBD2532}"/>
                </c:ext>
              </c:extLst>
            </c:dLbl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Data!$AC$4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Data!$AF$4</c:f>
              <c:numCache>
                <c:formatCode>General</c:formatCode>
                <c:ptCount val="1"/>
                <c:pt idx="0">
                  <c:v>9077.0400000000009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Data!$AE$4</c15:f>
                <c15:dlblRangeCache>
                  <c:ptCount val="1"/>
                  <c:pt idx="0">
                    <c:v>186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D392-45CC-BD31-02ED0BBD25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98305983"/>
        <c:axId val="1998289663"/>
      </c:scatterChart>
      <c:catAx>
        <c:axId val="199830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89663"/>
        <c:crosses val="autoZero"/>
        <c:auto val="1"/>
        <c:lblAlgn val="ctr"/>
        <c:lblOffset val="100"/>
        <c:noMultiLvlLbl val="0"/>
      </c:catAx>
      <c:valAx>
        <c:axId val="199828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830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Monthly Economic Impact</a:t>
            </a:r>
          </a:p>
        </c:rich>
      </c:tx>
      <c:layout>
        <c:manualLayout>
          <c:xMode val="edge"/>
          <c:yMode val="edge"/>
          <c:x val="2.1473751613322808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Data!$X$5</c:f>
              <c:strCache>
                <c:ptCount val="1"/>
                <c:pt idx="0">
                  <c:v>Monthly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10-43B7-A51E-DA1C5A54455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C3A761F-D463-4BB7-B0CE-4077E8F58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410-43B7-A51E-DA1C5A54455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AE185AE-C259-4D34-AC28-780009BB7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410-43B7-A51E-DA1C5A5445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Data!$Y$3:$Z$3</c:f>
              <c:strCache>
                <c:ptCount val="2"/>
                <c:pt idx="0">
                  <c:v>Traditional</c:v>
                </c:pt>
                <c:pt idx="1">
                  <c:v>Remote</c:v>
                </c:pt>
              </c:strCache>
            </c:strRef>
          </c:cat>
          <c:val>
            <c:numRef>
              <c:f>Data!$Y$5:$Z$5</c:f>
              <c:numCache>
                <c:formatCode>General</c:formatCode>
                <c:ptCount val="2"/>
                <c:pt idx="0">
                  <c:v>39301.200000000004</c:v>
                </c:pt>
                <c:pt idx="1">
                  <c:v>38502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Data!$AA$5:$AB$5</c15:f>
                <c15:dlblRangeCache>
                  <c:ptCount val="2"/>
                  <c:pt idx="0">
                    <c:v>39.3K</c:v>
                  </c:pt>
                  <c:pt idx="1">
                    <c:v>38.5K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410-43B7-A51E-DA1C5A5445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axId val="1998305983"/>
        <c:axId val="1998289663"/>
      </c:barChart>
      <c:scatterChart>
        <c:scatterStyle val="lineMarker"/>
        <c:varyColors val="0"/>
        <c:ser>
          <c:idx val="1"/>
          <c:order val="1"/>
          <c:tx>
            <c:strRef>
              <c:f>Data!$AC$3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4E-4B5A-9552-E1F667B601E6}"/>
              </c:ext>
            </c:extLst>
          </c:dPt>
          <c:dLbls>
            <c:delete val="1"/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plus"/>
            <c:errValType val="cust"/>
            <c:noEndCap val="1"/>
            <c:plus>
              <c:numRef>
                <c:f>Data!$AD$5</c:f>
                <c:numCache>
                  <c:formatCode>General</c:formatCode>
                  <c:ptCount val="1"/>
                  <c:pt idx="0">
                    <c:v>799.20000000000437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" cap="flat" cmpd="sng" algn="ctr">
                <a:solidFill>
                  <a:schemeClr val="accent6">
                    <a:alpha val="76000"/>
                  </a:schemeClr>
                </a:solidFill>
                <a:prstDash val="dashDot"/>
                <a:round/>
                <a:headEnd type="stealth"/>
                <a:tailEnd type="stealth"/>
              </a:ln>
              <a:effectLst/>
            </c:spPr>
          </c:errBars>
          <c:xVal>
            <c:numRef>
              <c:f>Data!$AC$5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Data!$Z$5</c:f>
              <c:numCache>
                <c:formatCode>General</c:formatCode>
                <c:ptCount val="1"/>
                <c:pt idx="0">
                  <c:v>38502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10-43B7-A51E-DA1C5A544552}"/>
            </c:ext>
          </c:extLst>
        </c:ser>
        <c:ser>
          <c:idx val="2"/>
          <c:order val="2"/>
          <c:tx>
            <c:strRef>
              <c:f>Data!$AF$3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F2AB592-B492-4C34-AEA1-75C3F4547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410-43B7-A51E-DA1C5A544552}"/>
                </c:ext>
              </c:extLst>
            </c:dLbl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Data!$AC$5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Data!$AF$5</c:f>
              <c:numCache>
                <c:formatCode>General</c:formatCode>
                <c:ptCount val="1"/>
                <c:pt idx="0">
                  <c:v>38901.600000000006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Data!$AE$5</c15:f>
                <c15:dlblRangeCache>
                  <c:ptCount val="1"/>
                  <c:pt idx="0">
                    <c:v>799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410-43B7-A51E-DA1C5A5445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98305983"/>
        <c:axId val="1998289663"/>
      </c:scatterChart>
      <c:catAx>
        <c:axId val="199830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89663"/>
        <c:crosses val="autoZero"/>
        <c:auto val="1"/>
        <c:lblAlgn val="ctr"/>
        <c:lblOffset val="100"/>
        <c:noMultiLvlLbl val="0"/>
      </c:catAx>
      <c:valAx>
        <c:axId val="199828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830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Annual Economic Impact</a:t>
            </a:r>
          </a:p>
        </c:rich>
      </c:tx>
      <c:layout>
        <c:manualLayout>
          <c:xMode val="edge"/>
          <c:yMode val="edge"/>
          <c:x val="2.1473751613322808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Data!$X$6</c:f>
              <c:strCache>
                <c:ptCount val="1"/>
                <c:pt idx="0">
                  <c:v>Annual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02-4C72-990D-19D740EAC5A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E342E01-8E6B-4280-821F-E7CEACDE1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02-4C72-990D-19D740EAC5A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1B5707-6690-4528-8A29-E9A2F5895E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02-4C72-990D-19D740EAC5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Data!$Y$3:$Z$3</c:f>
              <c:strCache>
                <c:ptCount val="2"/>
                <c:pt idx="0">
                  <c:v>Traditional</c:v>
                </c:pt>
                <c:pt idx="1">
                  <c:v>Remote</c:v>
                </c:pt>
              </c:strCache>
            </c:strRef>
          </c:cat>
          <c:val>
            <c:numRef>
              <c:f>Data!$Y$6:$Z$6</c:f>
              <c:numCache>
                <c:formatCode>General</c:formatCode>
                <c:ptCount val="2"/>
                <c:pt idx="0">
                  <c:v>478164.60000000009</c:v>
                </c:pt>
                <c:pt idx="1">
                  <c:v>468441.00000000006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Data!$AA$6:$AB$6</c15:f>
                <c15:dlblRangeCache>
                  <c:ptCount val="2"/>
                  <c:pt idx="0">
                    <c:v>478.2K</c:v>
                  </c:pt>
                  <c:pt idx="1">
                    <c:v>468.4K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F902-4C72-990D-19D740EAC5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axId val="1998305983"/>
        <c:axId val="1998289663"/>
      </c:barChart>
      <c:scatterChart>
        <c:scatterStyle val="lineMarker"/>
        <c:varyColors val="0"/>
        <c:ser>
          <c:idx val="1"/>
          <c:order val="1"/>
          <c:tx>
            <c:strRef>
              <c:f>Data!$AC$3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plus"/>
            <c:errValType val="cust"/>
            <c:noEndCap val="1"/>
            <c:plus>
              <c:numRef>
                <c:f>Data!$AD$6</c:f>
                <c:numCache>
                  <c:formatCode>General</c:formatCode>
                  <c:ptCount val="1"/>
                  <c:pt idx="0">
                    <c:v>9723.6000000000349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" cap="flat" cmpd="sng" algn="ctr">
                <a:solidFill>
                  <a:schemeClr val="accent6">
                    <a:alpha val="76000"/>
                  </a:schemeClr>
                </a:solidFill>
                <a:prstDash val="dashDot"/>
                <a:round/>
                <a:headEnd type="stealth"/>
                <a:tailEnd type="stealth"/>
              </a:ln>
              <a:effectLst/>
            </c:spPr>
          </c:errBars>
          <c:xVal>
            <c:numRef>
              <c:f>Data!$AC$6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Data!$Z$6</c:f>
              <c:numCache>
                <c:formatCode>General</c:formatCode>
                <c:ptCount val="1"/>
                <c:pt idx="0">
                  <c:v>468441.00000000006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02-4C72-990D-19D740EAC5AE}"/>
            </c:ext>
          </c:extLst>
        </c:ser>
        <c:ser>
          <c:idx val="2"/>
          <c:order val="2"/>
          <c:tx>
            <c:strRef>
              <c:f>Data!$AF$3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69ECDEB-AC9A-4022-9A73-AEAEC2AF1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902-4C72-990D-19D740EAC5AE}"/>
                </c:ext>
              </c:extLst>
            </c:dLbl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Data!$AC$6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Data!$AF$6</c:f>
              <c:numCache>
                <c:formatCode>General</c:formatCode>
                <c:ptCount val="1"/>
                <c:pt idx="0">
                  <c:v>473302.80000000005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Data!$AE$6</c15:f>
                <c15:dlblRangeCache>
                  <c:ptCount val="1"/>
                  <c:pt idx="0">
                    <c:v>9.7K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902-4C72-990D-19D740EAC5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98305983"/>
        <c:axId val="1998289663"/>
      </c:scatterChart>
      <c:catAx>
        <c:axId val="199830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89663"/>
        <c:crosses val="autoZero"/>
        <c:auto val="1"/>
        <c:lblAlgn val="ctr"/>
        <c:lblOffset val="100"/>
        <c:noMultiLvlLbl val="0"/>
      </c:catAx>
      <c:valAx>
        <c:axId val="19982896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830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482600</xdr:colOff>
      <xdr:row>2</xdr:row>
      <xdr:rowOff>161925</xdr:rowOff>
    </xdr:from>
    <xdr:to>
      <xdr:col>4</xdr:col>
      <xdr:colOff>539750</xdr:colOff>
      <xdr:row>5</xdr:row>
      <xdr:rowOff>171450</xdr:rowOff>
    </xdr:to>
    <xdr:sp macro="" textlink="">
      <xdr:nvSpPr>
        <xdr:cNvPr id="9" name="Rectangle: Rounded Corners 1">
          <a:extLst>
            <a:ext uri="{FF2B5EF4-FFF2-40B4-BE49-F238E27FC236}">
              <a16:creationId xmlns:a16="http://schemas.microsoft.com/office/drawing/2014/main" id="{8A355DEF-1915-8929-41C5-3BFADE770A92}"/>
            </a:ext>
          </a:extLst>
        </xdr:cNvPr>
        <xdr:cNvSpPr/>
      </xdr:nvSpPr>
      <xdr:spPr>
        <a:xfrm>
          <a:off x="482600" y="628650"/>
          <a:ext cx="4019550" cy="571500"/>
        </a:xfrm>
        <a:prstGeom prst="roundRect">
          <a:avLst/>
        </a:prstGeom>
        <a:ln>
          <a:noFill/>
        </a:ln>
        <a:effectLst>
          <a:outerShdw blurRad="635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Traditional Solution</a:t>
          </a:r>
        </a:p>
      </xdr:txBody>
    </xdr:sp>
    <xdr:clientData/>
  </xdr:twoCellAnchor>
  <xdr:twoCellAnchor editAs="absolute">
    <xdr:from>
      <xdr:col>7</xdr:col>
      <xdr:colOff>488950</xdr:colOff>
      <xdr:row>2</xdr:row>
      <xdr:rowOff>177800</xdr:rowOff>
    </xdr:from>
    <xdr:to>
      <xdr:col>12</xdr:col>
      <xdr:colOff>38100</xdr:colOff>
      <xdr:row>6</xdr:row>
      <xdr:rowOff>12700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65DBBA8-C373-2DB7-894E-DCFD5C39E24E}"/>
            </a:ext>
          </a:extLst>
        </xdr:cNvPr>
        <xdr:cNvSpPr/>
      </xdr:nvSpPr>
      <xdr:spPr>
        <a:xfrm>
          <a:off x="5803900" y="641350"/>
          <a:ext cx="4019550" cy="571500"/>
        </a:xfrm>
        <a:prstGeom prst="roundRect">
          <a:avLst/>
        </a:prstGeom>
        <a:solidFill>
          <a:schemeClr val="accent2"/>
        </a:solidFill>
        <a:ln>
          <a:noFill/>
        </a:ln>
        <a:effectLst>
          <a:outerShdw blurRad="635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Remote</a:t>
          </a:r>
          <a:r>
            <a:rPr lang="en-US" sz="2400" baseline="0"/>
            <a:t> Solution</a:t>
          </a:r>
          <a:endParaRPr lang="en-US" sz="2400"/>
        </a:p>
      </xdr:txBody>
    </xdr:sp>
    <xdr:clientData/>
  </xdr:twoCellAnchor>
  <xdr:twoCellAnchor>
    <xdr:from>
      <xdr:col>0</xdr:col>
      <xdr:colOff>990600</xdr:colOff>
      <xdr:row>23</xdr:row>
      <xdr:rowOff>101600</xdr:rowOff>
    </xdr:from>
    <xdr:to>
      <xdr:col>3</xdr:col>
      <xdr:colOff>346075</xdr:colOff>
      <xdr:row>38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AEDFD8-A2F9-46C0-A4AE-5A6C3584B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88900</xdr:colOff>
      <xdr:row>23</xdr:row>
      <xdr:rowOff>88900</xdr:rowOff>
    </xdr:from>
    <xdr:to>
      <xdr:col>7</xdr:col>
      <xdr:colOff>1038225</xdr:colOff>
      <xdr:row>38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2B38AD-6D07-415E-A49A-77487E070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1422400</xdr:colOff>
      <xdr:row>23</xdr:row>
      <xdr:rowOff>88900</xdr:rowOff>
    </xdr:from>
    <xdr:to>
      <xdr:col>11</xdr:col>
      <xdr:colOff>168275</xdr:colOff>
      <xdr:row>38</xdr:row>
      <xdr:rowOff>69850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9D80E1-75EC-4C90-A59A-0067E5C82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500063</xdr:colOff>
      <xdr:row>10</xdr:row>
      <xdr:rowOff>65086</xdr:rowOff>
    </xdr:from>
    <xdr:to>
      <xdr:col>12</xdr:col>
      <xdr:colOff>360363</xdr:colOff>
      <xdr:row>18</xdr:row>
      <xdr:rowOff>133349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3483A1A-FB7A-40E7-E62D-97F143754A51}"/>
            </a:ext>
          </a:extLst>
        </xdr:cNvPr>
        <xdr:cNvSpPr/>
      </xdr:nvSpPr>
      <xdr:spPr>
        <a:xfrm>
          <a:off x="9682163" y="2198686"/>
          <a:ext cx="2370138" cy="1554163"/>
        </a:xfrm>
        <a:prstGeom prst="roundRect">
          <a:avLst/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Some amounts</a:t>
          </a:r>
          <a:r>
            <a:rPr lang="en-US" sz="1100" baseline="0"/>
            <a:t> in this table are mentioned as 'per day'. These are converted to 'per hour' using the conversion in cell </a:t>
          </a:r>
          <a:r>
            <a:rPr lang="en-US" sz="1100" b="1" baseline="0"/>
            <a:t>S2.</a:t>
          </a:r>
          <a:endParaRPr lang="en-US" sz="1100" b="0" baseline="0"/>
        </a:p>
        <a:p>
          <a:pPr algn="l"/>
          <a:r>
            <a:rPr lang="en-US" sz="1100" b="0" baseline="0"/>
            <a:t>You can add necessary data to this table and all the calculations and charts will update automatically.</a:t>
          </a:r>
          <a:endParaRPr lang="en-US" sz="1100" b="1"/>
        </a:p>
      </xdr:txBody>
    </xdr:sp>
    <xdr:clientData/>
  </xdr:twoCellAnchor>
  <xdr:twoCellAnchor>
    <xdr:from>
      <xdr:col>12</xdr:col>
      <xdr:colOff>360363</xdr:colOff>
      <xdr:row>2</xdr:row>
      <xdr:rowOff>0</xdr:rowOff>
    </xdr:from>
    <xdr:to>
      <xdr:col>18</xdr:col>
      <xdr:colOff>33338</xdr:colOff>
      <xdr:row>14</xdr:row>
      <xdr:rowOff>118268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0FDC9C6-B1C5-5C1D-F99A-0DCE9076A887}"/>
            </a:ext>
          </a:extLst>
        </xdr:cNvPr>
        <xdr:cNvCxnSpPr>
          <a:stCxn id="2" idx="3"/>
        </xdr:cNvCxnSpPr>
      </xdr:nvCxnSpPr>
      <xdr:spPr>
        <a:xfrm flipV="1">
          <a:off x="12052301" y="685800"/>
          <a:ext cx="3021012" cy="22899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63500</xdr:colOff>
      <xdr:row>1</xdr:row>
      <xdr:rowOff>44450</xdr:rowOff>
    </xdr:from>
    <xdr:to>
      <xdr:col>32</xdr:col>
      <xdr:colOff>527050</xdr:colOff>
      <xdr:row>6</xdr:row>
      <xdr:rowOff>107950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5A07FC0-4F09-4712-ACC6-68C1566CC9E1}"/>
            </a:ext>
          </a:extLst>
        </xdr:cNvPr>
        <xdr:cNvSpPr/>
      </xdr:nvSpPr>
      <xdr:spPr>
        <a:xfrm>
          <a:off x="16814800" y="552450"/>
          <a:ext cx="6559550" cy="984250"/>
        </a:xfrm>
        <a:prstGeom prst="roundRect">
          <a:avLst/>
        </a:prstGeom>
        <a:solidFill>
          <a:schemeClr val="accent1">
            <a:alpha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/>
            <a:t>These</a:t>
          </a:r>
          <a:r>
            <a:rPr lang="en-US" sz="1100" b="0" baseline="0"/>
            <a:t> calculations are the backend for the charts. Please do not make any changes here.</a:t>
          </a:r>
          <a:endParaRPr lang="en-US" sz="1100" b="0"/>
        </a:p>
      </xdr:txBody>
    </xdr:sp>
    <xdr:clientData/>
  </xdr:twoCellAnchor>
  <xdr:twoCellAnchor>
    <xdr:from>
      <xdr:col>10</xdr:col>
      <xdr:colOff>28576</xdr:colOff>
      <xdr:row>1</xdr:row>
      <xdr:rowOff>98425</xdr:rowOff>
    </xdr:from>
    <xdr:to>
      <xdr:col>13</xdr:col>
      <xdr:colOff>376238</xdr:colOff>
      <xdr:row>7</xdr:row>
      <xdr:rowOff>28575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39A860B-8937-4983-AC44-52661524D9F3}"/>
            </a:ext>
          </a:extLst>
        </xdr:cNvPr>
        <xdr:cNvSpPr/>
      </xdr:nvSpPr>
      <xdr:spPr>
        <a:xfrm>
          <a:off x="10868026" y="603250"/>
          <a:ext cx="1824037" cy="1016000"/>
        </a:xfrm>
        <a:prstGeom prst="roundRect">
          <a:avLst>
            <a:gd name="adj" fmla="val 21142"/>
          </a:avLst>
        </a:prstGeom>
        <a:solidFill>
          <a:schemeClr val="accent1">
            <a:alpha val="6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/>
            <a:t>This</a:t>
          </a:r>
          <a:r>
            <a:rPr lang="en-US" sz="1100" b="0" baseline="0"/>
            <a:t> table contains the number of days used for weekly, monthly, and annual calculations.</a:t>
          </a:r>
          <a:endParaRPr lang="en-US" sz="1100" b="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lare Husbands" id="{470746FA-43D0-4DF2-ADCB-F6622C8E27D9}" userId="S::chusbands@safeinhome.com::3d14a53c-2007-492e-b000-8fae96f770b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B41CB-0C3D-4683-93AC-BBF7A9CE933D}" name="tblData" displayName="tblData" ref="A1:I19" totalsRowShown="0" headerRowDxfId="5">
  <tableColumns count="9">
    <tableColumn id="1" xr3:uid="{3061FC4E-DF22-4538-B745-8380C0D33AA8}" name="State"/>
    <tableColumn id="2" xr3:uid="{497221F9-55C5-417D-8DD3-D27BB7BF870B}" name="X Rate" dataDxfId="4"/>
    <tableColumn id="3" xr3:uid="{AD95FF4D-C01B-4D96-8CA0-85B6A8D395B1}" name="Billing Type"/>
    <tableColumn id="4" xr3:uid="{04D83F25-DDC0-44E4-B3BE-494504228873}" name="Y State Reimbursement Rate"/>
    <tableColumn id="5" xr3:uid="{F9F3E621-EBE4-4410-BF36-06412F33BCEC}" name="Y Billing Type" dataDxfId="3"/>
    <tableColumn id="6" xr3:uid="{CA5A00E4-DCB3-4055-9837-42E7714C4F04}" name="Daily Rate" dataDxfId="2"/>
    <tableColumn id="7" xr3:uid="{24B19958-F011-44DD-B240-4505A5F95BF0}" name="Avg."/>
    <tableColumn id="8" xr3:uid="{CADD72D2-0B59-49C5-A609-0405AEC553FF}" name="Back-Up Rates" dataDxfId="1"/>
    <tableColumn id="9" xr3:uid="{D68B3E7B-883D-4137-96EC-E25B9725B097}" name="Back-Up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C6454-8699-43F1-87FB-AD8D4B236EEA}" name="tblDays" displayName="tblDays" ref="M1:N4" totalsRowShown="0" headerRowDxfId="0">
  <tableColumns count="2">
    <tableColumn id="1" xr3:uid="{8AE715C7-95E6-4773-8836-B52259710A57}" name="Unit"/>
    <tableColumn id="2" xr3:uid="{1CDB373D-6915-465B-84A8-5E64808188BC}" name="Da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" dT="2025-05-02T17:31:06.02" personId="{470746FA-43D0-4DF2-ADCB-F6622C8E27D9}" id="{56775307-4CEB-468C-AD8C-755C4193541B}">
    <text>Scott will provide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8D8A-9811-454F-A508-8F2983E8C4DD}">
  <sheetPr codeName="Sheet1">
    <tabColor rgb="FF00B0F0"/>
  </sheetPr>
  <dimension ref="A1:S19"/>
  <sheetViews>
    <sheetView workbookViewId="0">
      <selection activeCell="D13" sqref="D13"/>
    </sheetView>
  </sheetViews>
  <sheetFormatPr defaultColWidth="0" defaultRowHeight="14.25" zeroHeight="1" x14ac:dyDescent="0.45"/>
  <cols>
    <col min="1" max="1" width="3.46484375" style="11" customWidth="1"/>
    <col min="2" max="2" width="8.73046875" style="11" customWidth="1"/>
    <col min="3" max="3" width="4.796875" style="11" customWidth="1"/>
    <col min="4" max="19" width="8.73046875" style="11" customWidth="1"/>
    <col min="20" max="16384" width="8.73046875" style="11" hidden="1"/>
  </cols>
  <sheetData>
    <row r="1" spans="1:19" ht="37.15" x14ac:dyDescent="0.4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45"/>
    <row r="3" spans="1:19" x14ac:dyDescent="0.45">
      <c r="B3" s="15" t="s">
        <v>1</v>
      </c>
    </row>
    <row r="4" spans="1:19" x14ac:dyDescent="0.45">
      <c r="B4" s="17"/>
      <c r="C4" s="16" t="s">
        <v>2</v>
      </c>
      <c r="D4" s="11" t="s">
        <v>3</v>
      </c>
    </row>
    <row r="5" spans="1:19" x14ac:dyDescent="0.45">
      <c r="B5" s="29"/>
      <c r="C5" s="16" t="s">
        <v>2</v>
      </c>
      <c r="D5" s="11" t="s">
        <v>4</v>
      </c>
    </row>
    <row r="6" spans="1:19" x14ac:dyDescent="0.45">
      <c r="B6" s="30"/>
      <c r="C6" s="16" t="s">
        <v>2</v>
      </c>
      <c r="D6" s="11" t="s">
        <v>5</v>
      </c>
    </row>
    <row r="7" spans="1:19" x14ac:dyDescent="0.45"/>
    <row r="8" spans="1:19" x14ac:dyDescent="0.45">
      <c r="B8" s="11" t="s">
        <v>42</v>
      </c>
    </row>
    <row r="9" spans="1:19" x14ac:dyDescent="0.45"/>
    <row r="10" spans="1:19" x14ac:dyDescent="0.45"/>
    <row r="11" spans="1:19" x14ac:dyDescent="0.45"/>
    <row r="12" spans="1:19" x14ac:dyDescent="0.45"/>
    <row r="13" spans="1:19" x14ac:dyDescent="0.45">
      <c r="B13" s="15" t="s">
        <v>6</v>
      </c>
      <c r="D13" s="11" t="s">
        <v>7</v>
      </c>
    </row>
    <row r="14" spans="1:19" x14ac:dyDescent="0.45"/>
    <row r="15" spans="1:19" x14ac:dyDescent="0.45"/>
    <row r="16" spans="1:19" x14ac:dyDescent="0.45"/>
    <row r="17" x14ac:dyDescent="0.45"/>
    <row r="18" x14ac:dyDescent="0.45"/>
    <row r="19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705B-A927-439F-AC64-E2429C2E33E1}">
  <sheetPr codeName="Sheet2">
    <tabColor rgb="FFFFC000"/>
  </sheetPr>
  <dimension ref="A1:Q43"/>
  <sheetViews>
    <sheetView showGridLines="0" tabSelected="1" zoomScale="85" zoomScaleNormal="85" workbookViewId="0">
      <selection activeCell="B13" sqref="B13"/>
    </sheetView>
  </sheetViews>
  <sheetFormatPr defaultColWidth="0" defaultRowHeight="14.25" zeroHeight="1" x14ac:dyDescent="0.45"/>
  <cols>
    <col min="1" max="1" width="20.59765625" style="11" customWidth="1"/>
    <col min="2" max="2" width="15.59765625" style="11" customWidth="1"/>
    <col min="3" max="6" width="8.73046875" style="11" customWidth="1"/>
    <col min="7" max="7" width="4.73046875" customWidth="1"/>
    <col min="8" max="8" width="20.59765625" style="11" customWidth="1"/>
    <col min="9" max="9" width="15.59765625" style="11" customWidth="1"/>
    <col min="10" max="10" width="3.19921875" style="11" customWidth="1"/>
    <col min="11" max="11" width="15.59765625" style="11" customWidth="1"/>
    <col min="12" max="13" width="8.73046875" style="11" customWidth="1"/>
    <col min="14" max="17" width="8.73046875" style="11" hidden="1" customWidth="1"/>
    <col min="18" max="16384" width="0" style="11" hidden="1"/>
  </cols>
  <sheetData>
    <row r="1" spans="1:11" ht="14.65" thickBot="1" x14ac:dyDescent="0.5">
      <c r="G1" s="11"/>
    </row>
    <row r="2" spans="1:11" ht="21.4" thickBot="1" x14ac:dyDescent="0.5">
      <c r="F2" s="20" t="s">
        <v>8</v>
      </c>
      <c r="G2" s="16" t="s">
        <v>2</v>
      </c>
      <c r="H2" s="33" t="s">
        <v>47</v>
      </c>
      <c r="I2"/>
    </row>
    <row r="3" spans="1:11" x14ac:dyDescent="0.45">
      <c r="G3" s="11"/>
    </row>
    <row r="4" spans="1:11" x14ac:dyDescent="0.45">
      <c r="G4" s="19"/>
    </row>
    <row r="5" spans="1:11" x14ac:dyDescent="0.45">
      <c r="G5" s="19"/>
    </row>
    <row r="6" spans="1:11" x14ac:dyDescent="0.45">
      <c r="G6" s="19"/>
    </row>
    <row r="7" spans="1:11" x14ac:dyDescent="0.45">
      <c r="G7" s="19"/>
    </row>
    <row r="8" spans="1:11" x14ac:dyDescent="0.45">
      <c r="G8" s="19"/>
    </row>
    <row r="9" spans="1:11" x14ac:dyDescent="0.45">
      <c r="A9" s="15" t="s">
        <v>39</v>
      </c>
      <c r="G9" s="19"/>
      <c r="H9" s="15" t="s">
        <v>39</v>
      </c>
    </row>
    <row r="10" spans="1:11" x14ac:dyDescent="0.45">
      <c r="A10" s="26" t="s">
        <v>34</v>
      </c>
      <c r="B10" s="31">
        <v>9</v>
      </c>
      <c r="G10" s="19"/>
      <c r="H10" s="26" t="s">
        <v>34</v>
      </c>
      <c r="I10" s="31">
        <v>9</v>
      </c>
    </row>
    <row r="11" spans="1:11" x14ac:dyDescent="0.45">
      <c r="A11" s="26" t="s">
        <v>9</v>
      </c>
      <c r="B11" s="31">
        <v>6</v>
      </c>
      <c r="E11" s="25"/>
      <c r="G11" s="19"/>
      <c r="H11" s="26" t="s">
        <v>9</v>
      </c>
      <c r="I11" s="31">
        <v>10</v>
      </c>
      <c r="K11" s="15" t="s">
        <v>35</v>
      </c>
    </row>
    <row r="12" spans="1:11" x14ac:dyDescent="0.45">
      <c r="A12" s="26" t="s">
        <v>10</v>
      </c>
      <c r="B12" s="27">
        <f>_xlfn.LET(
_xlpm.__traditionalReimbursment, _xlfn.XLOOKUP(rngState,tblData[State],tblData[X Rate]),
_xlpm.__billingType, _xlfn.XLOOKUP(rngState,tblData[State],tblData[Billing Type]),
_xlpm.__hourly, IF( _xlpm.__billingType = "per day", _xlpm.__traditionalReimbursment/rngHours, _xlpm.__traditionalReimbursment ),
_xlpm.__hourly
)</f>
        <v>24.26</v>
      </c>
      <c r="G12" s="19"/>
      <c r="H12" s="26" t="s">
        <v>10</v>
      </c>
      <c r="I12" s="27">
        <f>_xlfn.LET(
_xlpm.__remoteRate, _xlfn.XLOOKUP(rngState,tblData[State],tblData[Y State Reimbursement Rate]),
_xlpm.__billingType, _xlfn.XLOOKUP(rngState,tblData[State],tblData[Y Billing Type]),
_xlpm.__hourly, IF( _xlpm.__billingType = "per day", _xlpm.__remoteRate/rngHours, _xlpm.__remoteRate ),
_xlpm.__hourly
)</f>
        <v>14.26</v>
      </c>
      <c r="K12" s="27" cm="1">
        <f t="array" ref="K12">_xlfn.LET(
_xlpm.__backupRate, _xlfn.XLOOKUP(rngState,tblData[State],tblData[Back-Up Rates]),
_xlpm.__billingType, _xlfn.XLOOKUP(rngState,tblData[State],tblData[Back-Up Type]),
_xlpm.__hourly, IF( _xlpm.__billingType = "per day", __remoteRate/rngHours, _xlpm.__backupRate ),
_xlpm.__hourly
)</f>
        <v>10</v>
      </c>
    </row>
    <row r="13" spans="1:11" x14ac:dyDescent="0.45">
      <c r="A13" s="26" t="s">
        <v>11</v>
      </c>
      <c r="B13" s="32"/>
      <c r="G13" s="19"/>
      <c r="H13" s="26" t="s">
        <v>11</v>
      </c>
      <c r="I13" s="32"/>
      <c r="K13" s="32"/>
    </row>
    <row r="14" spans="1:11" x14ac:dyDescent="0.45">
      <c r="G14" s="19"/>
    </row>
    <row r="15" spans="1:11" x14ac:dyDescent="0.45">
      <c r="G15" s="19"/>
    </row>
    <row r="16" spans="1:11" x14ac:dyDescent="0.45">
      <c r="A16"/>
      <c r="B16"/>
      <c r="C16"/>
      <c r="D16"/>
      <c r="E16"/>
      <c r="F16"/>
      <c r="G16" s="19"/>
      <c r="H16"/>
      <c r="I16"/>
    </row>
    <row r="17" spans="1:17" x14ac:dyDescent="0.45">
      <c r="A17" s="15" t="s">
        <v>40</v>
      </c>
      <c r="G17" s="19"/>
      <c r="H17" s="15" t="s">
        <v>40</v>
      </c>
      <c r="K17" s="15" t="s">
        <v>41</v>
      </c>
    </row>
    <row r="18" spans="1:17" x14ac:dyDescent="0.45">
      <c r="A18" s="26" t="s">
        <v>36</v>
      </c>
      <c r="B18" s="28">
        <f>( $B$10 * $B$11 ) * IF( $B$13 = "",$B$12,$B$13 ) * _xlfn.XLOOKUP( "Week", tblDays[Unit], tblDays[Day] )</f>
        <v>9170.2800000000007</v>
      </c>
      <c r="G18" s="19"/>
      <c r="H18" s="26" t="s">
        <v>36</v>
      </c>
      <c r="I18" s="28">
        <f>( $I$10 * $I$11 ) * IF( $I$13 = "",$I$12,$I$13 ) * _xlfn.XLOOKUP( "Week", tblDays[Unit], tblDays[Day] )</f>
        <v>8983.8000000000011</v>
      </c>
      <c r="K18" s="28">
        <f>( $I$10 * $I$11 ) * IF( $K$13 = "",$K$12,$K$13 ) * _xlfn.XLOOKUP( "Week", tblDays[Unit], tblDays[Day] )</f>
        <v>6300</v>
      </c>
    </row>
    <row r="19" spans="1:17" x14ac:dyDescent="0.45">
      <c r="A19" s="26" t="s">
        <v>37</v>
      </c>
      <c r="B19" s="28">
        <f>( $B$10 * $B$11 ) * IF( $B$13 = "",$B$12,$B$13 ) * _xlfn.XLOOKUP( "Month", tblDays[Unit], tblDays[Day] )</f>
        <v>39301.200000000004</v>
      </c>
      <c r="G19" s="19"/>
      <c r="H19" s="26" t="s">
        <v>37</v>
      </c>
      <c r="I19" s="28">
        <f>( $I$10 * $I$11 ) * IF( $I$13 = "",$I$12,$I$13 ) * _xlfn.XLOOKUP( "Month", tblDays[Unit], tblDays[Day] )</f>
        <v>38502</v>
      </c>
      <c r="K19" s="28">
        <f>( $I$10 * $I$11 ) * IF( $K$13 = "",$K$12,$K$13 ) * _xlfn.XLOOKUP( "Month", tblDays[Unit], tblDays[Day] )</f>
        <v>27000</v>
      </c>
    </row>
    <row r="20" spans="1:17" x14ac:dyDescent="0.45">
      <c r="A20" s="26" t="s">
        <v>38</v>
      </c>
      <c r="B20" s="28">
        <f>( $B$10 * $B$11 ) * IF( $B$13 = "",$B$12,$B$13 ) * _xlfn.XLOOKUP( "Year", tblDays[Unit], tblDays[Day] )</f>
        <v>478164.60000000009</v>
      </c>
      <c r="G20" s="19"/>
      <c r="H20" s="26" t="s">
        <v>38</v>
      </c>
      <c r="I20" s="28">
        <f>( $I$10 * $I$11 ) * IF( $I$13 = "",$I$12,$I$13 ) * _xlfn.XLOOKUP( "Year", tblDays[Unit], tblDays[Day] )</f>
        <v>468441.00000000006</v>
      </c>
      <c r="K20" s="28">
        <f>( $I$10 * $I$11 ) * IF( $K$13 = "",$K$12,$K$13 ) * _xlfn.XLOOKUP( "Year", tblDays[Unit], tblDays[Day] )</f>
        <v>328500</v>
      </c>
    </row>
    <row r="21" spans="1:17" x14ac:dyDescent="0.45">
      <c r="G21" s="19"/>
    </row>
    <row r="22" spans="1:17" x14ac:dyDescent="0.45">
      <c r="G22" s="19"/>
    </row>
    <row r="23" spans="1:17" x14ac:dyDescent="0.4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1:17" x14ac:dyDescent="0.45"/>
    <row r="25" spans="1:17" x14ac:dyDescent="0.45"/>
    <row r="26" spans="1:17" x14ac:dyDescent="0.45"/>
    <row r="27" spans="1:17" x14ac:dyDescent="0.45"/>
    <row r="28" spans="1:17" x14ac:dyDescent="0.45"/>
    <row r="29" spans="1:17" x14ac:dyDescent="0.45"/>
    <row r="30" spans="1:17" x14ac:dyDescent="0.45"/>
    <row r="31" spans="1:17" x14ac:dyDescent="0.45"/>
    <row r="32" spans="1:17" x14ac:dyDescent="0.45"/>
    <row r="33" x14ac:dyDescent="0.45"/>
    <row r="34" x14ac:dyDescent="0.45"/>
    <row r="35" x14ac:dyDescent="0.45"/>
    <row r="36" x14ac:dyDescent="0.45"/>
    <row r="37" x14ac:dyDescent="0.45"/>
    <row r="38" x14ac:dyDescent="0.45"/>
    <row r="39" x14ac:dyDescent="0.45"/>
    <row r="40" x14ac:dyDescent="0.45"/>
    <row r="41" x14ac:dyDescent="0.45"/>
    <row r="42" x14ac:dyDescent="0.45"/>
    <row r="43" x14ac:dyDescent="0.45"/>
  </sheetData>
  <sheetProtection algorithmName="SHA-512" hashValue="B3+fNISNAgFi76olED48gO1hBMkP9T9xXZ53NNOC4IZb000Sm+2X7RNTHtPCoI5bRwd4HM6PioV/RjqnHg+2fw==" saltValue="+JdjmOwAtU7g0j+hJ6BEHQ==" spinCount="100000" sheet="1" objects="1" selectLockedCells="1"/>
  <dataValidations count="1">
    <dataValidation type="list" allowBlank="1" showInputMessage="1" showErrorMessage="1" sqref="H2" xr:uid="{EBA900FE-7B8E-4219-A90A-061259A370E9}">
      <formula1>rngStates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EAC7-4D33-4EB6-8C4C-D40A9D9137D7}">
  <sheetPr codeName="Sheet3">
    <tabColor rgb="FF92D050"/>
  </sheetPr>
  <dimension ref="A1:AH19"/>
  <sheetViews>
    <sheetView workbookViewId="0">
      <selection activeCell="C23" sqref="C23"/>
    </sheetView>
  </sheetViews>
  <sheetFormatPr defaultColWidth="0" defaultRowHeight="14.25" x14ac:dyDescent="0.45"/>
  <cols>
    <col min="1" max="1" width="15" customWidth="1"/>
    <col min="2" max="2" width="27.53125" customWidth="1"/>
    <col min="3" max="3" width="12.73046875" customWidth="1"/>
    <col min="4" max="4" width="20.19921875" customWidth="1"/>
    <col min="5" max="5" width="11.796875" customWidth="1"/>
    <col min="6" max="6" width="11.265625" customWidth="1"/>
    <col min="7" max="7" width="17.46484375" customWidth="1"/>
    <col min="8" max="8" width="12.53125" customWidth="1"/>
    <col min="9" max="9" width="14.46484375" customWidth="1"/>
    <col min="10" max="10" width="8.73046875" customWidth="1"/>
    <col min="11" max="11" width="3.19921875" customWidth="1"/>
    <col min="12" max="15" width="8.73046875" customWidth="1"/>
    <col min="16" max="16" width="3.19921875" customWidth="1"/>
    <col min="17" max="21" width="8.73046875" customWidth="1"/>
    <col min="22" max="22" width="3.19921875" customWidth="1"/>
    <col min="23" max="34" width="8.73046875" customWidth="1"/>
    <col min="35" max="16384" width="8.73046875" hidden="1"/>
  </cols>
  <sheetData>
    <row r="1" spans="1:33" s="18" customFormat="1" ht="40.049999999999997" customHeight="1" x14ac:dyDescent="0.45">
      <c r="A1" s="1" t="s">
        <v>12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13</v>
      </c>
      <c r="G1" s="1" t="s">
        <v>65</v>
      </c>
      <c r="H1" s="1" t="s">
        <v>66</v>
      </c>
      <c r="I1" s="1" t="s">
        <v>67</v>
      </c>
      <c r="M1" s="18" t="s">
        <v>14</v>
      </c>
      <c r="N1" s="18" t="s">
        <v>15</v>
      </c>
    </row>
    <row r="2" spans="1:33" x14ac:dyDescent="0.45">
      <c r="A2" t="s">
        <v>43</v>
      </c>
      <c r="B2" s="21">
        <v>340.77</v>
      </c>
      <c r="C2" t="s">
        <v>16</v>
      </c>
      <c r="D2" s="2">
        <v>6.5</v>
      </c>
      <c r="E2" s="3" t="s">
        <v>17</v>
      </c>
      <c r="F2" s="3">
        <v>340.77</v>
      </c>
      <c r="G2" s="3">
        <v>14</v>
      </c>
      <c r="H2" s="3">
        <v>3.5</v>
      </c>
      <c r="I2" s="3" t="s">
        <v>17</v>
      </c>
      <c r="M2" t="s">
        <v>18</v>
      </c>
      <c r="N2">
        <v>7</v>
      </c>
      <c r="R2" t="s">
        <v>19</v>
      </c>
      <c r="S2" s="24">
        <v>8</v>
      </c>
      <c r="T2" t="s">
        <v>20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33" x14ac:dyDescent="0.45">
      <c r="A3" t="s">
        <v>44</v>
      </c>
      <c r="B3" s="21">
        <v>39.57</v>
      </c>
      <c r="C3" t="s">
        <v>17</v>
      </c>
      <c r="D3" s="2">
        <v>9</v>
      </c>
      <c r="E3" s="3" t="s">
        <v>17</v>
      </c>
      <c r="F3" s="3"/>
      <c r="G3" s="3">
        <v>16.07</v>
      </c>
      <c r="H3" s="3">
        <v>0</v>
      </c>
      <c r="I3" s="3"/>
      <c r="M3" t="s">
        <v>21</v>
      </c>
      <c r="N3">
        <v>30</v>
      </c>
      <c r="W3" s="34"/>
      <c r="X3" s="34"/>
      <c r="Y3" s="34" t="s">
        <v>22</v>
      </c>
      <c r="Z3" s="34" t="s">
        <v>23</v>
      </c>
      <c r="AA3" s="34" t="s">
        <v>24</v>
      </c>
      <c r="AB3" s="34" t="s">
        <v>25</v>
      </c>
      <c r="AC3" s="34" t="s">
        <v>26</v>
      </c>
      <c r="AD3" s="34" t="s">
        <v>27</v>
      </c>
      <c r="AE3" s="34" t="s">
        <v>28</v>
      </c>
      <c r="AF3" s="34" t="s">
        <v>29</v>
      </c>
      <c r="AG3" s="34"/>
    </row>
    <row r="4" spans="1:33" x14ac:dyDescent="0.45">
      <c r="A4" t="s">
        <v>45</v>
      </c>
      <c r="B4" s="21">
        <v>26.4</v>
      </c>
      <c r="C4" t="s">
        <v>17</v>
      </c>
      <c r="D4" s="2">
        <v>10.039999999999999</v>
      </c>
      <c r="E4" s="3" t="s">
        <v>17</v>
      </c>
      <c r="F4" s="3">
        <v>330</v>
      </c>
      <c r="G4" s="3">
        <v>18.7</v>
      </c>
      <c r="H4" s="3">
        <v>0</v>
      </c>
      <c r="I4" s="3"/>
      <c r="M4" t="s">
        <v>30</v>
      </c>
      <c r="N4">
        <v>365</v>
      </c>
      <c r="W4" s="34"/>
      <c r="X4" s="34" t="s">
        <v>31</v>
      </c>
      <c r="Y4" s="34" cm="1">
        <f t="array" ref="Y4:Y6">Calculator!$B$18:$B$20</f>
        <v>9170.2800000000007</v>
      </c>
      <c r="Z4" s="34" cm="1">
        <f t="array" ref="Z4:Z6">Calculator!I18:I20</f>
        <v>8983.8000000000011</v>
      </c>
      <c r="AA4" s="34" t="str">
        <f>IF(Y4&gt;999,TEXT(Y4,"#,#0,.0K"),TEXT(Y4,"#,#"))</f>
        <v>9.2K</v>
      </c>
      <c r="AB4" s="34" t="str">
        <f>IF(Z4&gt;999,TEXT(Z4,"#,#0,.0K"),TEXT(Z4,"#,#"))</f>
        <v>9.0K</v>
      </c>
      <c r="AC4" s="34">
        <v>1.3</v>
      </c>
      <c r="AD4" s="34">
        <f>Y4-Z4</f>
        <v>186.47999999999956</v>
      </c>
      <c r="AE4" s="34" t="str">
        <f>IF(AD4&gt;999,TEXT(AD4,"#,#0,.0K"),TEXT(AD4,"#,#"))</f>
        <v>186</v>
      </c>
      <c r="AF4" s="34">
        <f>AVERAGE(Y4:Z4)</f>
        <v>9077.0400000000009</v>
      </c>
      <c r="AG4" s="34"/>
    </row>
    <row r="5" spans="1:33" x14ac:dyDescent="0.45">
      <c r="A5" t="s">
        <v>46</v>
      </c>
      <c r="B5" s="21">
        <v>49.72</v>
      </c>
      <c r="C5" t="s">
        <v>17</v>
      </c>
      <c r="D5" s="2">
        <v>10.28</v>
      </c>
      <c r="E5" s="3" t="s">
        <v>17</v>
      </c>
      <c r="F5" s="3"/>
      <c r="G5" s="3">
        <v>15.5</v>
      </c>
      <c r="H5" s="3">
        <v>6.16</v>
      </c>
      <c r="I5" s="3" t="s">
        <v>17</v>
      </c>
      <c r="W5" s="34"/>
      <c r="X5" s="34" t="s">
        <v>32</v>
      </c>
      <c r="Y5" s="34">
        <v>39301.200000000004</v>
      </c>
      <c r="Z5" s="34">
        <v>38502</v>
      </c>
      <c r="AA5" s="34" t="str">
        <f>IF(Y5&gt;999,TEXT(Y5,"#,#0,.0K"),TEXT(Y5,"#,#"))</f>
        <v>39.3K</v>
      </c>
      <c r="AB5" s="34" t="str">
        <f t="shared" ref="AB5:AB6" si="0">IF(Z5&gt;999,TEXT(Z5,"#,#0,.0K"),TEXT(Z5,"#,#"))</f>
        <v>38.5K</v>
      </c>
      <c r="AC5" s="34">
        <v>1.3</v>
      </c>
      <c r="AD5" s="34">
        <f t="shared" ref="AD5:AD6" si="1">Y5-Z5</f>
        <v>799.20000000000437</v>
      </c>
      <c r="AE5" s="34" t="str">
        <f t="shared" ref="AE5:AE6" si="2">IF(AD5&gt;999,TEXT(AD5,"#,#0,.0K"),TEXT(AD5,"#,#"))</f>
        <v>799</v>
      </c>
      <c r="AF5" s="34">
        <f t="shared" ref="AF5:AF6" si="3">AVERAGE(Y5:Z5)</f>
        <v>38901.600000000006</v>
      </c>
      <c r="AG5" s="34"/>
    </row>
    <row r="6" spans="1:33" x14ac:dyDescent="0.45">
      <c r="A6" t="s">
        <v>47</v>
      </c>
      <c r="B6" s="21">
        <v>24.26</v>
      </c>
      <c r="C6" t="s">
        <v>17</v>
      </c>
      <c r="D6" s="2">
        <v>14.26</v>
      </c>
      <c r="E6" s="3" t="s">
        <v>17</v>
      </c>
      <c r="F6" s="3">
        <v>276.88</v>
      </c>
      <c r="G6" s="3">
        <v>16.68</v>
      </c>
      <c r="H6" s="3">
        <v>10</v>
      </c>
      <c r="I6" s="3" t="s">
        <v>17</v>
      </c>
      <c r="W6" s="34"/>
      <c r="X6" s="34" t="s">
        <v>33</v>
      </c>
      <c r="Y6" s="34">
        <v>478164.60000000009</v>
      </c>
      <c r="Z6" s="34">
        <v>468441.00000000006</v>
      </c>
      <c r="AA6" s="34" t="str">
        <f>IF(Y6&gt;999,TEXT(Y6,"#,#0,.0K"),TEXT(Y6,"#,#"))</f>
        <v>478.2K</v>
      </c>
      <c r="AB6" s="34" t="str">
        <f t="shared" si="0"/>
        <v>468.4K</v>
      </c>
      <c r="AC6" s="34">
        <v>1.3</v>
      </c>
      <c r="AD6" s="34">
        <f t="shared" si="1"/>
        <v>9723.6000000000349</v>
      </c>
      <c r="AE6" s="34" t="str">
        <f t="shared" si="2"/>
        <v>9.7K</v>
      </c>
      <c r="AF6" s="34">
        <f t="shared" si="3"/>
        <v>473302.80000000005</v>
      </c>
      <c r="AG6" s="34"/>
    </row>
    <row r="7" spans="1:33" x14ac:dyDescent="0.45">
      <c r="A7" t="s">
        <v>48</v>
      </c>
      <c r="B7" s="21">
        <v>292.82</v>
      </c>
      <c r="C7" t="s">
        <v>16</v>
      </c>
      <c r="D7" s="2">
        <v>8.2799999999999994</v>
      </c>
      <c r="E7" s="3" t="s">
        <v>17</v>
      </c>
      <c r="F7" s="3">
        <v>292.82</v>
      </c>
      <c r="G7" s="3">
        <v>16.489999999999998</v>
      </c>
      <c r="H7" s="3">
        <v>0</v>
      </c>
      <c r="I7" s="3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</row>
    <row r="8" spans="1:33" x14ac:dyDescent="0.45">
      <c r="A8" t="s">
        <v>49</v>
      </c>
      <c r="B8" s="21">
        <v>13.89</v>
      </c>
      <c r="C8" t="s">
        <v>17</v>
      </c>
      <c r="D8" s="2"/>
      <c r="E8" s="3"/>
      <c r="F8" s="3"/>
      <c r="G8" s="3"/>
      <c r="H8" s="3">
        <v>0</v>
      </c>
      <c r="I8" s="3"/>
    </row>
    <row r="9" spans="1:33" x14ac:dyDescent="0.45">
      <c r="A9" t="s">
        <v>50</v>
      </c>
      <c r="B9" s="21">
        <v>55.56</v>
      </c>
      <c r="C9" t="s">
        <v>17</v>
      </c>
      <c r="D9" s="2">
        <v>13</v>
      </c>
      <c r="E9" s="3" t="s">
        <v>17</v>
      </c>
      <c r="F9" s="3">
        <v>306</v>
      </c>
      <c r="G9" s="3">
        <v>16</v>
      </c>
      <c r="H9" s="3">
        <v>0</v>
      </c>
      <c r="I9" s="3"/>
    </row>
    <row r="10" spans="1:33" x14ac:dyDescent="0.45">
      <c r="A10" s="4" t="s">
        <v>51</v>
      </c>
      <c r="B10" s="22">
        <v>77.38</v>
      </c>
      <c r="C10" s="4" t="s">
        <v>16</v>
      </c>
      <c r="D10" s="2">
        <v>20.64</v>
      </c>
      <c r="E10" s="3" t="s">
        <v>17</v>
      </c>
      <c r="F10" s="3">
        <v>77.349999999999994</v>
      </c>
      <c r="G10" s="3">
        <v>17</v>
      </c>
      <c r="H10" s="3">
        <v>396.97</v>
      </c>
      <c r="I10" s="3" t="s">
        <v>16</v>
      </c>
    </row>
    <row r="11" spans="1:33" x14ac:dyDescent="0.45">
      <c r="A11" t="s">
        <v>52</v>
      </c>
      <c r="B11" s="21">
        <v>29.17</v>
      </c>
      <c r="C11" t="s">
        <v>17</v>
      </c>
      <c r="D11" s="2">
        <v>8.24</v>
      </c>
      <c r="E11" s="3" t="s">
        <v>17</v>
      </c>
      <c r="F11" s="3">
        <v>305.02999999999997</v>
      </c>
      <c r="G11" s="3">
        <v>14</v>
      </c>
      <c r="H11" s="5">
        <v>0</v>
      </c>
      <c r="I11" s="5"/>
    </row>
    <row r="12" spans="1:33" x14ac:dyDescent="0.45">
      <c r="A12" t="s">
        <v>53</v>
      </c>
      <c r="B12" s="21">
        <v>8.3800000000000008</v>
      </c>
      <c r="C12" t="s">
        <v>17</v>
      </c>
      <c r="D12" s="2">
        <v>9</v>
      </c>
      <c r="E12" s="3" t="s">
        <v>17</v>
      </c>
      <c r="F12" s="3">
        <v>357.13</v>
      </c>
      <c r="G12" s="3">
        <v>16</v>
      </c>
      <c r="H12" s="3">
        <v>0</v>
      </c>
      <c r="I12" s="3"/>
    </row>
    <row r="13" spans="1:33" x14ac:dyDescent="0.45">
      <c r="A13" t="s">
        <v>54</v>
      </c>
      <c r="B13" s="21">
        <v>33.520000000000003</v>
      </c>
      <c r="C13" t="s">
        <v>17</v>
      </c>
      <c r="D13" s="2">
        <v>9.48</v>
      </c>
      <c r="E13" s="3" t="s">
        <v>17</v>
      </c>
      <c r="F13" s="3"/>
      <c r="G13" s="3">
        <v>16.13</v>
      </c>
      <c r="H13" s="3">
        <v>4.6399999999999997</v>
      </c>
      <c r="I13" s="3" t="s">
        <v>17</v>
      </c>
    </row>
    <row r="14" spans="1:33" x14ac:dyDescent="0.45">
      <c r="A14" t="s">
        <v>55</v>
      </c>
      <c r="B14" s="21">
        <v>26.32</v>
      </c>
      <c r="C14" t="s">
        <v>17</v>
      </c>
      <c r="D14" s="2">
        <v>7.96</v>
      </c>
      <c r="E14" s="3" t="s">
        <v>17</v>
      </c>
      <c r="F14" s="3">
        <v>225.23</v>
      </c>
      <c r="G14" s="3">
        <v>13</v>
      </c>
      <c r="H14" s="3">
        <v>0</v>
      </c>
      <c r="I14" s="3"/>
    </row>
    <row r="15" spans="1:33" x14ac:dyDescent="0.45">
      <c r="A15" t="s">
        <v>56</v>
      </c>
      <c r="B15" s="21">
        <v>556.21</v>
      </c>
      <c r="C15" t="s">
        <v>16</v>
      </c>
      <c r="D15" s="2">
        <v>9</v>
      </c>
      <c r="E15" s="3" t="s">
        <v>17</v>
      </c>
      <c r="F15" s="3"/>
      <c r="G15" s="3">
        <v>17.850000000000001</v>
      </c>
      <c r="H15" s="3">
        <v>0</v>
      </c>
      <c r="I15" s="3"/>
    </row>
    <row r="16" spans="1:33" x14ac:dyDescent="0.45">
      <c r="A16" t="s">
        <v>57</v>
      </c>
      <c r="B16" s="21">
        <v>150.9</v>
      </c>
      <c r="C16" t="s">
        <v>16</v>
      </c>
      <c r="D16" s="2">
        <v>6.88</v>
      </c>
      <c r="E16" s="3" t="s">
        <v>17</v>
      </c>
      <c r="F16" s="3"/>
      <c r="G16" s="3">
        <v>15.37</v>
      </c>
      <c r="H16" s="3">
        <v>0</v>
      </c>
      <c r="I16" s="3"/>
    </row>
    <row r="17" spans="1:9" ht="15.75" x14ac:dyDescent="0.5">
      <c r="A17" s="6" t="s">
        <v>58</v>
      </c>
      <c r="B17" s="21">
        <v>44.57</v>
      </c>
      <c r="C17" t="s">
        <v>17</v>
      </c>
      <c r="D17" s="7">
        <v>6.88</v>
      </c>
      <c r="E17" s="3" t="s">
        <v>17</v>
      </c>
      <c r="G17" s="8">
        <v>16.86</v>
      </c>
      <c r="H17" s="3">
        <v>0</v>
      </c>
      <c r="I17" s="9"/>
    </row>
    <row r="18" spans="1:9" ht="15.75" x14ac:dyDescent="0.5">
      <c r="A18" s="6" t="s">
        <v>59</v>
      </c>
      <c r="B18" s="21">
        <v>32.72</v>
      </c>
      <c r="C18" t="s">
        <v>17</v>
      </c>
      <c r="D18" s="7">
        <v>6.88</v>
      </c>
      <c r="E18" s="3" t="s">
        <v>17</v>
      </c>
      <c r="H18" s="3">
        <v>0</v>
      </c>
    </row>
    <row r="19" spans="1:9" ht="15.75" x14ac:dyDescent="0.5">
      <c r="A19" s="10" t="s">
        <v>60</v>
      </c>
      <c r="B19" s="23">
        <v>25.52</v>
      </c>
      <c r="C19" t="s">
        <v>17</v>
      </c>
      <c r="D19" s="12">
        <v>8.2799999999999994</v>
      </c>
      <c r="E19" s="3" t="s">
        <v>17</v>
      </c>
      <c r="F19" s="3"/>
      <c r="H19" s="3">
        <v>0</v>
      </c>
    </row>
  </sheetData>
  <pageMargins left="0.7" right="0.7" top="0.75" bottom="0.75" header="0.3" footer="0.3"/>
  <drawing r:id="rId1"/>
  <legacy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BE8007-8293-4405-B9F9-719A84134D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</vt:lpstr>
      <vt:lpstr>Calculator</vt:lpstr>
      <vt:lpstr>Data</vt:lpstr>
      <vt:lpstr>rngHours</vt:lpstr>
      <vt:lpstr>rngState</vt:lpstr>
      <vt:lpstr>rngStates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Husbands</dc:creator>
  <cp:keywords/>
  <dc:description/>
  <cp:lastModifiedBy>Nazmul Islam Jobair</cp:lastModifiedBy>
  <cp:revision/>
  <dcterms:created xsi:type="dcterms:W3CDTF">2025-05-03T04:37:57Z</dcterms:created>
  <dcterms:modified xsi:type="dcterms:W3CDTF">2026-08-27T16:24:07Z</dcterms:modified>
  <cp:category/>
  <cp:contentStatus/>
</cp:coreProperties>
</file>